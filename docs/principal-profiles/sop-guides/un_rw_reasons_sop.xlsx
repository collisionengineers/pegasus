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C:\Users\PGUSER\Desktop\"/>
    </mc:Choice>
  </mc:AlternateContent>
  <xr:revisionPtr revIDLastSave="72" documentId="13_ncr:1_{4FA2C705-4BF4-40A0-A7DB-1217969B2FE7}" xr6:coauthVersionLast="47" xr6:coauthVersionMax="47" xr10:uidLastSave="{03B2C223-D372-4AA9-B160-C67466B92AD4}"/>
  <bookViews>
    <workbookView xWindow="30960" yWindow="1650" windowWidth="24195" windowHeight="12810" firstSheet="1" activeTab="1" xr2:uid="{151F6DEE-AE32-4D44-BAD5-BD0CC2A1528A}"/>
  </bookViews>
  <sheets>
    <sheet name="UN-RW COMMENTS" sheetId="1" r:id="rId1"/>
    <sheet name="Mileage Valuation" sheetId="2" r:id="rId2"/>
    <sheet name="value average " sheetId="3" r:id="rId3"/>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3" l="1"/>
  <c r="C19" i="3"/>
  <c r="B19" i="3"/>
  <c r="B6" i="2"/>
  <c r="B7" i="2" s="1"/>
  <c r="B8" i="2" s="1"/>
</calcChain>
</file>

<file path=xl/sharedStrings.xml><?xml version="1.0" encoding="utf-8"?>
<sst xmlns="http://schemas.openxmlformats.org/spreadsheetml/2006/main" count="165" uniqueCount="165">
  <si>
    <t>Area</t>
  </si>
  <si>
    <t>Phrase</t>
  </si>
  <si>
    <t>Front end distortion (pdfront)</t>
  </si>
  <si>
    <t>Please note the vehicle is unroadworthy due to the extent of panel distortion sustained to the front end.</t>
  </si>
  <si>
    <t>Right side damage  (os)</t>
  </si>
  <si>
    <t>Please note the vehicle is unroadworthy due to the extent of panel distortion sustained to the offside.</t>
  </si>
  <si>
    <t>Left side damage (ns)</t>
  </si>
  <si>
    <t>Please note the vehicle is unroadworthy due to the extent of panel distortion sustained to the nearside.</t>
  </si>
  <si>
    <t>Front bumper</t>
  </si>
  <si>
    <t>Please note the vehicle is unroadworthy due to the broken / insecure front bumper.</t>
  </si>
  <si>
    <t>Rear body Compromised  (rbc)</t>
  </si>
  <si>
    <t>Please note the vehicle is unroadworthy as the rear body has been compromised.</t>
  </si>
  <si>
    <t>Rear bumper</t>
  </si>
  <si>
    <t>Please note the vehicle is unroadworthy due to the broken / insecure rear bumper.</t>
  </si>
  <si>
    <t>Wheel/tyre (iwt)</t>
  </si>
  <si>
    <t xml:space="preserve">Please note the vehicle is unroadworthy due to the impacted wheel and tyre. </t>
  </si>
  <si>
    <t>Taxi (taxi)</t>
  </si>
  <si>
    <t>Please note the vehicle is unroadworthy / unfit for purpose due to the damage sustained. We do not expect the vehicle to comply with the local licensing authority regulations.</t>
  </si>
  <si>
    <t xml:space="preserve">Aluminium </t>
  </si>
  <si>
    <t>Please note this vehicle has aluminium body panels, uplift applied to the labour rate as per ABP guide.</t>
  </si>
  <si>
    <t>ADAS</t>
  </si>
  <si>
    <t>Please note the vehicle is unroadworthy as we understand the ADAS  is not working correctly.</t>
  </si>
  <si>
    <t>Bonnet</t>
  </si>
  <si>
    <t>Please note the vehicle is unroadworthy due to the distorted bonnet.</t>
  </si>
  <si>
    <t>Door damage</t>
  </si>
  <si>
    <t>Please note the vehicle is unroadworthy due to the extent of panel distortion sustained to the door.</t>
  </si>
  <si>
    <t>Door Hinge</t>
  </si>
  <si>
    <t>Please note the vehicle is unroadworthy due to the damaged door / hinges.</t>
  </si>
  <si>
    <t>Engine management</t>
  </si>
  <si>
    <t>Please note the vehicle is unroadworthy as the engine management light is illuminated.</t>
  </si>
  <si>
    <t>Front bumper (punctured)</t>
  </si>
  <si>
    <t>Please note the vehicle is unroadworthy due to the broken / punctured front bumper.</t>
  </si>
  <si>
    <t>Headlamp</t>
  </si>
  <si>
    <t>Please note the vehicle is unroadworthy due to the broken / insecure headlamp.</t>
  </si>
  <si>
    <t>Left side damage (rear)</t>
  </si>
  <si>
    <t>Please note the vehicle is unroadworthy due to the extent of panel distortion sustained to the nearside rear.</t>
  </si>
  <si>
    <t>Left wing (rear)</t>
  </si>
  <si>
    <t>Please note the vehicle is unroadworthy due to the extent of panel distortion sustained to the nearside rear wing.</t>
  </si>
  <si>
    <t>Nearside door (we understand)</t>
  </si>
  <si>
    <t>Please note the vehicle is unroadworthy as we understand the nearside door does not operate correctly.</t>
  </si>
  <si>
    <t>Nearside Mirror</t>
  </si>
  <si>
    <t>Please note the vehicle is unroadworthy due to the broken nearside mirror.</t>
  </si>
  <si>
    <t>Offside mirror</t>
  </si>
  <si>
    <t>Please note the vehicle is unroadworthy due to the broken offside door mirror.</t>
  </si>
  <si>
    <t>Offside door (we understand)</t>
  </si>
  <si>
    <t>Please note the vehicle is unroadworthy as we understand the offside door does not operate correctly</t>
  </si>
  <si>
    <t>Radiator</t>
  </si>
  <si>
    <t>Please note the vehicle is unroadworthy as we understand the radiator is leaking.</t>
  </si>
  <si>
    <t>Rear Bumper (punctured)</t>
  </si>
  <si>
    <t>Please note the vehicle is unroadworthy due to the broken / punctured rear bumper.</t>
  </si>
  <si>
    <t>Rear window</t>
  </si>
  <si>
    <t>Please note the vehicle is unroadworthy due to the broken rear window.</t>
  </si>
  <si>
    <t>Rear lamp</t>
  </si>
  <si>
    <t>Please note the vehicle is unroadworthy due to the broken nearside rear lamp.</t>
  </si>
  <si>
    <t>Right side front</t>
  </si>
  <si>
    <t>Please note the vehicle is unroadworthy due to the extent of panel distortion sustained to the offside front.</t>
  </si>
  <si>
    <t>Right wing</t>
  </si>
  <si>
    <t>Please note the vehicle is unroadworthy due to the extent of panel distortion sustained to the offside front wing.</t>
  </si>
  <si>
    <t>Suspension</t>
  </si>
  <si>
    <t>Please note the vehicle is unroadworthy as the we understand the suspension has dropped since the accident.</t>
  </si>
  <si>
    <t>Suspension (damage)</t>
  </si>
  <si>
    <t>Please note the vehicle is unroadworthy due to damaged rear suspension.</t>
  </si>
  <si>
    <t>Suspension (doesn’t drive straight)</t>
  </si>
  <si>
    <t>Please note the vehicle is unroadworthy as we understand the vehicle doesn’t drive straight.</t>
  </si>
  <si>
    <t>Unroadworthy taken off road</t>
  </si>
  <si>
    <t>Please note the vehicle is unroadworthy/unfit for purpose, as we understand that the local licensing authority has suspended the vehicle from it's fleet.</t>
  </si>
  <si>
    <t>Wheel/ Tyre (misaligned)</t>
  </si>
  <si>
    <t xml:space="preserve">Please note the vehicle is unroadworthy due to misaligned wheel and tyre. </t>
  </si>
  <si>
    <t>Wheel/tyre front (WST</t>
  </si>
  <si>
    <t xml:space="preserve">Please note the vehicle is unroadworthy due to the impacted wheels and tyres. </t>
  </si>
  <si>
    <t>possible wheel, tyre, suspension (WST)</t>
  </si>
  <si>
    <t xml:space="preserve">Please note the vehicle is unroadworthy due to the impacted rear wheel and tyre. </t>
  </si>
  <si>
    <t>Window regulator</t>
  </si>
  <si>
    <t>Please note the vehicle is unroadworthy due to the broken / damaged window regulator.</t>
  </si>
  <si>
    <t>Bike (frame)</t>
  </si>
  <si>
    <t>Please note the vehicle is unroadworthy due to the broken / damaged frame.</t>
  </si>
  <si>
    <t>Bike (forks)</t>
  </si>
  <si>
    <t>Please note the vehicle is unroadworthy due to the broken / damaged front forks.</t>
  </si>
  <si>
    <t>Taxi (regulations)</t>
  </si>
  <si>
    <t>Please note the vehicle is unroadworthy / unfit for purpose due to the damage sustained. We do not expect the vehicle to comply with the local licencing authority regulations.</t>
  </si>
  <si>
    <t>Taxi (rear Bumper)</t>
  </si>
  <si>
    <t>Please note the vehicle is unroadworthy / unfit for purpose, due to the broken / insecure rear bumper.</t>
  </si>
  <si>
    <t>Taxi (rear bumper and reinforcer)</t>
  </si>
  <si>
    <t>Please note the vehicle is unroadworthy / unfit for purpose due to the damaged rear bumper and reinforcement panel.</t>
  </si>
  <si>
    <t>Taxi (front bumper and headlight)</t>
  </si>
  <si>
    <t>Please note the vehicle is unroadworthy / unfit for purpose due to the damaged front bumper and headlamp.</t>
  </si>
  <si>
    <t>Taxi (punctured front bumper)</t>
  </si>
  <si>
    <t>Please note the vehicle is unroadworthy / unfit for purpose due to the punctured front bumper.</t>
  </si>
  <si>
    <t>Rear Bumper and light</t>
  </si>
  <si>
    <t>Please note the vehicle is unroadworthy due to the insecure rear bumper and  damaged rear lamp.</t>
  </si>
  <si>
    <t>Front bumper and headlight</t>
  </si>
  <si>
    <t>Please note the vehicle is unroadworthy due to the insecure front bumper and broken headlamp.</t>
  </si>
  <si>
    <t>Exhaust (Mountings)</t>
  </si>
  <si>
    <t>Please note the vehicle is unroadworthy due to the insecure exhaust.</t>
  </si>
  <si>
    <t>taxi</t>
  </si>
  <si>
    <t xml:space="preserve"> Please note the vehicle is unroadworthy / unfit for purpose due to damage sustained</t>
  </si>
  <si>
    <t>SRS</t>
  </si>
  <si>
    <t xml:space="preserve"> Please note the vehicle is unroadworthy due to SRS fault logged.</t>
  </si>
  <si>
    <t>Windscreen</t>
  </si>
  <si>
    <t xml:space="preserve"> Please note the vehicle is unroadworthy due to the broken rear windscreen.</t>
  </si>
  <si>
    <t xml:space="preserve">Unroadworthy   </t>
  </si>
  <si>
    <t>The vehicle is unroadworthy, as we understand</t>
  </si>
  <si>
    <t>Roadworthy unsuitable to tow</t>
  </si>
  <si>
    <t>Please note the vehicle is roadworthy, but unsuitable to tow.</t>
  </si>
  <si>
    <t>Tailgate (not working)</t>
  </si>
  <si>
    <t>Please note the vehicle is unroadworthy as we understand the tailgate does operate.</t>
  </si>
  <si>
    <t>Rolled</t>
  </si>
  <si>
    <t>Please note the vehicle is unroadworthy due to the catastrophic damaged sustained.</t>
  </si>
  <si>
    <t>Broken reflector</t>
  </si>
  <si>
    <t>We advise the broken reflector is removed or replaced prior to returning the vehicle to use.</t>
  </si>
  <si>
    <t>Aluminum Rate</t>
  </si>
  <si>
    <t>Update PAV</t>
  </si>
  <si>
    <t>xx/xx/2025 UPDATED REPORT - The vehicle owner has contested our valuation and provided some market research to support this. We have reviewed this, and conducted our own research, we feel the value is £xxx</t>
  </si>
  <si>
    <t>deduction from PAV  offside front wing</t>
  </si>
  <si>
    <t>Pre-existing damage to offside front wing,</t>
  </si>
  <si>
    <t>deduction from PAV  nearside front wing</t>
  </si>
  <si>
    <t xml:space="preserve">Pre-existing damage to nearside front wing, </t>
  </si>
  <si>
    <t>deduction from PAV front bumper</t>
  </si>
  <si>
    <t xml:space="preserve">Pre-existing damage to front bumper, </t>
  </si>
  <si>
    <t>deduction from PAV rear bumper</t>
  </si>
  <si>
    <t xml:space="preserve">Pre-existing damage to rear bumper, </t>
  </si>
  <si>
    <t>deduction from PAV nearside front door</t>
  </si>
  <si>
    <t xml:space="preserve">Pre-existing damage to nearside front door, </t>
  </si>
  <si>
    <t>deduction from PAV offside front door</t>
  </si>
  <si>
    <t>Pre-existing damage to offside front door,</t>
  </si>
  <si>
    <t>deduction from PAV nearside rear door</t>
  </si>
  <si>
    <t>Pre-existing damage to nearside rear door,</t>
  </si>
  <si>
    <t>deduction from PAV offside rear door</t>
  </si>
  <si>
    <t xml:space="preserve">Pre-existing damage to offside rear door, </t>
  </si>
  <si>
    <t>deduction from PAV offside rear quarter panel</t>
  </si>
  <si>
    <t>Pre-existing damage to offside rear quarter panel.</t>
  </si>
  <si>
    <t>deduction from PAV nearside rear quarter panel</t>
  </si>
  <si>
    <t>Pre-existing damage to nearside rear quarter panel,</t>
  </si>
  <si>
    <t>deduction from PAV tailgate</t>
  </si>
  <si>
    <t xml:space="preserve">Pre-existing damage to tailgate, </t>
  </si>
  <si>
    <t>MOT data</t>
  </si>
  <si>
    <t>The mileage has been calculated from  online MOT data</t>
  </si>
  <si>
    <t>Average mileage</t>
  </si>
  <si>
    <t>The valuation is based on average mileage</t>
  </si>
  <si>
    <t>contract repair</t>
  </si>
  <si>
    <t>This is a contract repair, costs must not increase.</t>
  </si>
  <si>
    <t>Total loss  (PRETLCODE)</t>
  </si>
  <si>
    <t>20% has been deducted from the pre accident valuation due to the vehicle being a previous total loss.</t>
  </si>
  <si>
    <t>KM to miles</t>
  </si>
  <si>
    <t>Mileage in km, converted to miles for valuation</t>
  </si>
  <si>
    <t>Market Research</t>
  </si>
  <si>
    <t>Valuation based on market research</t>
  </si>
  <si>
    <t>PCO badge</t>
  </si>
  <si>
    <t>Please be aware this vehicle has a PCO badge so the PAV has been increased accordingly</t>
  </si>
  <si>
    <t>Further to your recent mail, having reviewed the TP estimated repair costs we can advise that the costs they have supplied include discounted labour rates that are not reflective of a retail repair and or the ABP guideline rates for this tyre of repair.</t>
  </si>
  <si>
    <t>They have also included reduced additional operations and extra costs at discounted amounts again not reflective of the retail rates of ABP guidelines.</t>
  </si>
  <si>
    <t>Based on this we would see no reason to deviate from our report as it is line with these industry guides.</t>
  </si>
  <si>
    <t>Confidentiality: 
This email and any attachments are strictly confidential and intended solely for the addressees. If you are not the intended addressee, you must not copy the contents of this email or any attachments, or disclose the contents to any other person. If you have received this transmission in error please notify us immediately and delete the message from any place it may be stored on your computer. Any views or opinions presented in this email are solely those of the author. Thank you for your cooperation. 
Ten Legal are committed to preserving the environment. Please think twice before printing this email. 
Authorised and regulated by the Solicitors Regulation Authority SRA No 812498</t>
  </si>
  <si>
    <t>Known vehicle value (£)</t>
  </si>
  <si>
    <t>Known vehicle mileage</t>
  </si>
  <si>
    <t>Actual vehicle mileage</t>
  </si>
  <si>
    <t>Depreciation per 10,000 miles (£)</t>
  </si>
  <si>
    <t>Mileage difference</t>
  </si>
  <si>
    <t>Depreciation amount (£)</t>
  </si>
  <si>
    <t>Estimated vehicle value (£)</t>
  </si>
  <si>
    <t>Valuation Note</t>
  </si>
  <si>
    <t>This valuation applies a fixed incremental mileage depreciation model. The known market value is adjusted by applying a deduction of £200 per additional 10,000 miles over the reference mileage. This approach reflects accepted UK insurance and trade valuation practice, recognising that depreciation at very high mileages occurs in stepped increments rather than proportional mathematical ratios.</t>
  </si>
  <si>
    <t>value</t>
  </si>
  <si>
    <t xml:space="preserve">mileage </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</si>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</sst>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theme="1"/>
      <name val="Calibri"/>
      <family val="2"/>
      <scheme val="minor"/>
    </font>
    <font>
      <sz val="11"/>
      <name val="Calibri"/>
      <family val="2"/>
      <scheme val="minor"/>
    </font>
    <font>
      <sz val="12"/>
      <color theme="1"/>
      <name val="Aptos"/>
      <family val="2"/>
      <charset val="1"/>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0" fillId="0" borderId="0" xfId="0" applyAlignment="1">
      <alignment horizontal="left"/>
    </xf>
    <xf numFmtId="0" fontId="2" fillId="0" borderId="0" xfId="0" applyFont="1"/>
    <xf numFmtId="0" fontId="3" fillId="0" borderId="0" xfId="0" applyFont="1"/>
    <xf numFmtId="0" fontId="3" fillId="0" borderId="0" xfId="0" applyFont="1" applyAlignment="1">
      <alignment wrapText="1"/>
    </xf>
    <xf numFmtId="0" fontId="0" fillId="2" borderId="1" xfId="0" applyFill="1" applyBorder="1"/>
    <xf numFmtId="0" fontId="0" fillId="3" borderId="1" xfId="0" applyFill="1" applyBorder="1"/>
    <xf numFmtId="0" fontId="0" fillId="4" borderId="1" xfId="0" applyFont="1" applyFill="1"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9CBE-FB00-4910-A4FD-FF6618638308}">
  <dimension ref="A1:B85"/>
  <sheetViews>
    <sheetView topLeftCell="A68" workbookViewId="0">
      <selection activeCell="A40" sqref="A40"/>
    </sheetView>
  </sheetViews>
  <sheetFormatPr defaultRowHeight="15"/>
  <cols>
    <col min="1" max="1" width="43.140625" bestFit="1" customWidth="1"/>
    <col min="2" max="2" width="189.85546875" customWidth="1"/>
  </cols>
  <sheetData>
    <row r="1" spans="1:2" ht="18.75">
      <c r="A1" s="1" t="s">
        <v>0</v>
      </c>
      <c r="B1" s="1" t="s">
        <v>1</v>
      </c>
    </row>
    <row r="2" spans="1:2" ht="18.75">
      <c r="A2" s="1"/>
      <c r="B2" s="1"/>
    </row>
    <row r="3" spans="1:2" ht="15" customHeight="1">
      <c r="A3" t="s">
        <v>2</v>
      </c>
      <c r="B3" t="s">
        <v>3</v>
      </c>
    </row>
    <row r="4" spans="1:2">
      <c r="A4" t="s">
        <v>4</v>
      </c>
      <c r="B4" t="s">
        <v>5</v>
      </c>
    </row>
    <row r="5" spans="1:2">
      <c r="A5" t="s">
        <v>6</v>
      </c>
      <c r="B5" t="s">
        <v>7</v>
      </c>
    </row>
    <row r="6" spans="1:2">
      <c r="A6" t="s">
        <v>8</v>
      </c>
      <c r="B6" t="s">
        <v>9</v>
      </c>
    </row>
    <row r="7" spans="1:2">
      <c r="A7" t="s">
        <v>10</v>
      </c>
      <c r="B7" t="s">
        <v>11</v>
      </c>
    </row>
    <row r="8" spans="1:2">
      <c r="A8" t="s">
        <v>12</v>
      </c>
      <c r="B8" t="s">
        <v>13</v>
      </c>
    </row>
    <row r="9" spans="1:2">
      <c r="A9" t="s">
        <v>14</v>
      </c>
      <c r="B9" t="s">
        <v>15</v>
      </c>
    </row>
    <row r="10" spans="1:2">
      <c r="A10" s="2" t="s">
        <v>16</v>
      </c>
      <c r="B10" s="2" t="s">
        <v>17</v>
      </c>
    </row>
    <row r="11" spans="1:2">
      <c r="A11" s="2" t="s">
        <v>18</v>
      </c>
      <c r="B11" s="2" t="s">
        <v>19</v>
      </c>
    </row>
    <row r="12" spans="1:2" ht="18.75">
      <c r="A12" s="1"/>
      <c r="B12" s="1"/>
    </row>
    <row r="13" spans="1:2">
      <c r="A13" t="s">
        <v>20</v>
      </c>
      <c r="B13" t="s">
        <v>21</v>
      </c>
    </row>
    <row r="14" spans="1:2">
      <c r="A14" t="s">
        <v>22</v>
      </c>
      <c r="B14" t="s">
        <v>23</v>
      </c>
    </row>
    <row r="15" spans="1:2">
      <c r="A15" t="s">
        <v>24</v>
      </c>
      <c r="B15" t="s">
        <v>25</v>
      </c>
    </row>
    <row r="16" spans="1:2">
      <c r="A16" t="s">
        <v>26</v>
      </c>
      <c r="B16" t="s">
        <v>27</v>
      </c>
    </row>
    <row r="17" spans="1:2">
      <c r="A17" t="s">
        <v>28</v>
      </c>
      <c r="B17" t="s">
        <v>29</v>
      </c>
    </row>
    <row r="18" spans="1:2" ht="15" customHeight="1">
      <c r="A18" t="s">
        <v>30</v>
      </c>
      <c r="B18" t="s">
        <v>31</v>
      </c>
    </row>
    <row r="19" spans="1:2">
      <c r="A19" t="s">
        <v>32</v>
      </c>
      <c r="B19" t="s">
        <v>33</v>
      </c>
    </row>
    <row r="20" spans="1:2">
      <c r="A20" t="s">
        <v>34</v>
      </c>
      <c r="B20" t="s">
        <v>35</v>
      </c>
    </row>
    <row r="21" spans="1:2">
      <c r="A21" t="s">
        <v>36</v>
      </c>
      <c r="B21" t="s">
        <v>37</v>
      </c>
    </row>
    <row r="22" spans="1:2">
      <c r="A22" t="s">
        <v>38</v>
      </c>
      <c r="B22" t="s">
        <v>39</v>
      </c>
    </row>
    <row r="23" spans="1:2">
      <c r="A23" t="s">
        <v>40</v>
      </c>
      <c r="B23" t="s">
        <v>41</v>
      </c>
    </row>
    <row r="24" spans="1:2">
      <c r="A24" t="s">
        <v>42</v>
      </c>
      <c r="B24" t="s">
        <v>43</v>
      </c>
    </row>
    <row r="25" spans="1:2">
      <c r="A25" t="s">
        <v>44</v>
      </c>
      <c r="B25" t="s">
        <v>45</v>
      </c>
    </row>
    <row r="26" spans="1:2">
      <c r="A26" t="s">
        <v>46</v>
      </c>
      <c r="B26" t="s">
        <v>47</v>
      </c>
    </row>
    <row r="27" spans="1:2">
      <c r="A27" t="s">
        <v>48</v>
      </c>
      <c r="B27" t="s">
        <v>49</v>
      </c>
    </row>
    <row r="28" spans="1:2">
      <c r="A28" t="s">
        <v>50</v>
      </c>
      <c r="B28" t="s">
        <v>51</v>
      </c>
    </row>
    <row r="29" spans="1:2">
      <c r="A29" t="s">
        <v>52</v>
      </c>
      <c r="B29" t="s">
        <v>53</v>
      </c>
    </row>
    <row r="30" spans="1:2">
      <c r="A30" t="s">
        <v>54</v>
      </c>
      <c r="B30" t="s">
        <v>55</v>
      </c>
    </row>
    <row r="31" spans="1:2">
      <c r="A31" t="s">
        <v>56</v>
      </c>
      <c r="B31" t="s">
        <v>57</v>
      </c>
    </row>
    <row r="32" spans="1:2">
      <c r="A32" t="s">
        <v>58</v>
      </c>
      <c r="B32" t="s">
        <v>59</v>
      </c>
    </row>
    <row r="33" spans="1:2">
      <c r="A33" t="s">
        <v>60</v>
      </c>
      <c r="B33" t="s">
        <v>61</v>
      </c>
    </row>
    <row r="34" spans="1:2">
      <c r="A34" t="s">
        <v>62</v>
      </c>
      <c r="B34" t="s">
        <v>63</v>
      </c>
    </row>
    <row r="35" spans="1:2">
      <c r="A35" t="s">
        <v>64</v>
      </c>
      <c r="B35" s="3" t="s">
        <v>65</v>
      </c>
    </row>
    <row r="36" spans="1:2">
      <c r="A36" t="s">
        <v>66</v>
      </c>
      <c r="B36" t="s">
        <v>67</v>
      </c>
    </row>
    <row r="37" spans="1:2">
      <c r="A37" t="s">
        <v>68</v>
      </c>
      <c r="B37" t="s">
        <v>69</v>
      </c>
    </row>
    <row r="38" spans="1:2">
      <c r="A38" t="s">
        <v>70</v>
      </c>
      <c r="B38" t="s">
        <v>71</v>
      </c>
    </row>
    <row r="39" spans="1:2">
      <c r="A39" t="s">
        <v>72</v>
      </c>
      <c r="B39" t="s">
        <v>73</v>
      </c>
    </row>
    <row r="40" spans="1:2">
      <c r="A40" t="s">
        <v>74</v>
      </c>
      <c r="B40" t="s">
        <v>75</v>
      </c>
    </row>
    <row r="41" spans="1:2">
      <c r="A41" t="s">
        <v>76</v>
      </c>
      <c r="B41" t="s">
        <v>77</v>
      </c>
    </row>
    <row r="42" spans="1:2">
      <c r="A42" t="s">
        <v>78</v>
      </c>
      <c r="B42" t="s">
        <v>79</v>
      </c>
    </row>
    <row r="43" spans="1:2">
      <c r="A43" t="s">
        <v>80</v>
      </c>
      <c r="B43" t="s">
        <v>81</v>
      </c>
    </row>
    <row r="44" spans="1:2">
      <c r="A44" t="s">
        <v>82</v>
      </c>
      <c r="B44" t="s">
        <v>83</v>
      </c>
    </row>
    <row r="45" spans="1:2">
      <c r="A45" t="s">
        <v>84</v>
      </c>
      <c r="B45" t="s">
        <v>85</v>
      </c>
    </row>
    <row r="46" spans="1:2">
      <c r="A46" t="s">
        <v>86</v>
      </c>
      <c r="B46" t="s">
        <v>87</v>
      </c>
    </row>
    <row r="47" spans="1:2">
      <c r="A47" t="s">
        <v>88</v>
      </c>
      <c r="B47" t="s">
        <v>89</v>
      </c>
    </row>
    <row r="48" spans="1:2">
      <c r="A48" t="s">
        <v>90</v>
      </c>
      <c r="B48" t="s">
        <v>91</v>
      </c>
    </row>
    <row r="49" spans="1:2">
      <c r="A49" t="s">
        <v>92</v>
      </c>
      <c r="B49" t="s">
        <v>93</v>
      </c>
    </row>
    <row r="50" spans="1:2">
      <c r="A50" t="s">
        <v>94</v>
      </c>
      <c r="B50" t="s">
        <v>95</v>
      </c>
    </row>
    <row r="51" spans="1:2">
      <c r="A51" t="s">
        <v>96</v>
      </c>
      <c r="B51" t="s">
        <v>97</v>
      </c>
    </row>
    <row r="52" spans="1:2">
      <c r="A52" t="s">
        <v>98</v>
      </c>
      <c r="B52" t="s">
        <v>99</v>
      </c>
    </row>
    <row r="53" spans="1:2">
      <c r="A53" t="s">
        <v>100</v>
      </c>
      <c r="B53" t="s">
        <v>101</v>
      </c>
    </row>
    <row r="54" spans="1:2">
      <c r="A54" t="s">
        <v>102</v>
      </c>
      <c r="B54" t="s">
        <v>103</v>
      </c>
    </row>
    <row r="55" spans="1:2">
      <c r="A55" t="s">
        <v>104</v>
      </c>
      <c r="B55" t="s">
        <v>105</v>
      </c>
    </row>
    <row r="56" spans="1:2">
      <c r="A56" t="s">
        <v>106</v>
      </c>
      <c r="B56" t="s">
        <v>107</v>
      </c>
    </row>
    <row r="57" spans="1:2">
      <c r="A57" t="s">
        <v>108</v>
      </c>
      <c r="B57" t="s">
        <v>109</v>
      </c>
    </row>
    <row r="59" spans="1:2">
      <c r="A59" t="s">
        <v>110</v>
      </c>
    </row>
    <row r="60" spans="1:2">
      <c r="A60" t="s">
        <v>111</v>
      </c>
      <c r="B60" t="s">
        <v>112</v>
      </c>
    </row>
    <row r="61" spans="1:2">
      <c r="A61" t="s">
        <v>113</v>
      </c>
      <c r="B61" t="s">
        <v>114</v>
      </c>
    </row>
    <row r="62" spans="1:2">
      <c r="A62" t="s">
        <v>115</v>
      </c>
      <c r="B62" t="s">
        <v>116</v>
      </c>
    </row>
    <row r="63" spans="1:2">
      <c r="A63" t="s">
        <v>117</v>
      </c>
      <c r="B63" t="s">
        <v>118</v>
      </c>
    </row>
    <row r="64" spans="1:2">
      <c r="A64" t="s">
        <v>119</v>
      </c>
      <c r="B64" t="s">
        <v>120</v>
      </c>
    </row>
    <row r="65" spans="1:2">
      <c r="A65" t="s">
        <v>121</v>
      </c>
      <c r="B65" t="s">
        <v>122</v>
      </c>
    </row>
    <row r="66" spans="1:2">
      <c r="A66" t="s">
        <v>123</v>
      </c>
      <c r="B66" t="s">
        <v>124</v>
      </c>
    </row>
    <row r="67" spans="1:2">
      <c r="A67" t="s">
        <v>125</v>
      </c>
      <c r="B67" t="s">
        <v>126</v>
      </c>
    </row>
    <row r="68" spans="1:2">
      <c r="A68" t="s">
        <v>127</v>
      </c>
      <c r="B68" t="s">
        <v>128</v>
      </c>
    </row>
    <row r="69" spans="1:2">
      <c r="A69" t="s">
        <v>129</v>
      </c>
      <c r="B69" t="s">
        <v>130</v>
      </c>
    </row>
    <row r="70" spans="1:2">
      <c r="A70" t="s">
        <v>131</v>
      </c>
      <c r="B70" t="s">
        <v>132</v>
      </c>
    </row>
    <row r="71" spans="1:2">
      <c r="A71" t="s">
        <v>133</v>
      </c>
      <c r="B71" t="s">
        <v>134</v>
      </c>
    </row>
    <row r="72" spans="1:2">
      <c r="A72" t="s">
        <v>135</v>
      </c>
      <c r="B72" t="s">
        <v>136</v>
      </c>
    </row>
    <row r="73" spans="1:2">
      <c r="A73" t="s">
        <v>137</v>
      </c>
      <c r="B73" t="s">
        <v>138</v>
      </c>
    </row>
    <row r="74" spans="1:2">
      <c r="A74" t="s">
        <v>139</v>
      </c>
      <c r="B74" s="3" t="s">
        <v>140</v>
      </c>
    </row>
    <row r="75" spans="1:2">
      <c r="A75" t="s">
        <v>141</v>
      </c>
      <c r="B75" t="s">
        <v>142</v>
      </c>
    </row>
    <row r="76" spans="1:2">
      <c r="A76" t="s">
        <v>143</v>
      </c>
      <c r="B76" t="s">
        <v>144</v>
      </c>
    </row>
    <row r="77" spans="1:2">
      <c r="A77" t="s">
        <v>145</v>
      </c>
      <c r="B77" t="s">
        <v>146</v>
      </c>
    </row>
    <row r="78" spans="1:2">
      <c r="A78" t="s">
        <v>147</v>
      </c>
      <c r="B78" t="s">
        <v>148</v>
      </c>
    </row>
    <row r="79" spans="1:2" ht="15.75">
      <c r="B79" s="4" t="s">
        <v>149</v>
      </c>
    </row>
    <row r="80" spans="1:2" ht="15.75">
      <c r="B80" s="4" t="s">
        <v>150</v>
      </c>
    </row>
    <row r="81" spans="2:2" ht="15.75">
      <c r="B81" s="4" t="s">
        <v>151</v>
      </c>
    </row>
    <row r="83" spans="2:2" ht="94.5">
      <c r="B83" s="5" t="s">
        <v>152</v>
      </c>
    </row>
    <row r="84" spans="2:2" ht="15.75">
      <c r="B84" s="4"/>
    </row>
    <row r="85" spans="2:2" ht="15.75">
      <c r="B85" s="4"/>
    </row>
  </sheetData>
  <sortState xmlns:xlrd2="http://schemas.microsoft.com/office/spreadsheetml/2017/richdata2" ref="A13:B39">
    <sortCondition ref="A13:A39"/>
  </sortState>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1865-9605-438E-9AF2-9D0234891B7E}">
  <dimension ref="A1:E11"/>
  <sheetViews>
    <sheetView tabSelected="1" workbookViewId="0">
      <selection activeCell="C5" sqref="C5"/>
    </sheetView>
  </sheetViews>
  <sheetFormatPr defaultRowHeight="15"/>
  <cols>
    <col min="1" max="1" width="120" customWidth="1"/>
  </cols>
  <sheetData>
    <row r="1" spans="1:5">
      <c r="A1" t="s">
        <v>153</v>
      </c>
      <c r="B1" s="6">
        <v>8243</v>
      </c>
    </row>
    <row r="2" spans="1:5">
      <c r="A2" t="s">
        <v>154</v>
      </c>
      <c r="B2">
        <v>200000</v>
      </c>
    </row>
    <row r="3" spans="1:5">
      <c r="A3" t="s">
        <v>155</v>
      </c>
      <c r="B3" s="6">
        <v>219114</v>
      </c>
      <c r="E3">
        <v>148424</v>
      </c>
    </row>
    <row r="4" spans="1:5">
      <c r="A4" t="s">
        <v>156</v>
      </c>
      <c r="B4" s="6">
        <v>200</v>
      </c>
    </row>
    <row r="6" spans="1:5">
      <c r="A6" t="s">
        <v>157</v>
      </c>
      <c r="B6" s="8">
        <f>B3-B2</f>
        <v>19114</v>
      </c>
    </row>
    <row r="7" spans="1:5">
      <c r="A7" t="s">
        <v>158</v>
      </c>
      <c r="B7">
        <f>(B6/10000)*B4</f>
        <v>382.28</v>
      </c>
    </row>
    <row r="8" spans="1:5">
      <c r="A8" t="s">
        <v>159</v>
      </c>
      <c r="B8" s="7">
        <f>ROUND(MAX(0,B1-B7),0)</f>
        <v>7861</v>
      </c>
    </row>
    <row r="10" spans="1:5">
      <c r="A10" t="s">
        <v>160</v>
      </c>
    </row>
    <row r="11" spans="1:5">
      <c r="A11"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CBBC-645F-4188-B86E-2061F746429B}">
  <dimension ref="A1:C19"/>
  <sheetViews>
    <sheetView workbookViewId="0">
      <selection activeCell="A24" sqref="A24"/>
    </sheetView>
  </sheetViews>
  <sheetFormatPr defaultRowHeight="15"/>
  <sheetData>
    <row r="1" spans="1:3">
      <c r="A1" s="9" t="s">
        <v>162</v>
      </c>
      <c r="B1" s="9" t="s">
        <v>163</v>
      </c>
      <c r="C1" s="9" t="s">
        <v>164</v>
      </c>
    </row>
    <row r="19" spans="1:3">
      <c r="A19" s="10" t="e">
        <f>AVERAGE(A2:A18)</f>
        <v>#DIV/0!</v>
      </c>
      <c r="B19" s="10" t="e">
        <f t="shared" ref="B19:C19" si="0">AVERAGE(B2:B18)</f>
        <v>#DIV/0!</v>
      </c>
      <c r="C19" s="10" t="e">
        <f t="shared" si="0"/>
        <v>#DIV/0!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E8DFBC63CD91489FC37730822BB09B" ma:contentTypeVersion="6" ma:contentTypeDescription="Create a new document." ma:contentTypeScope="" ma:versionID="f35a29689601e7f478249934875eaa7b">
  <xsd:schema xmlns:xsd="http://www.w3.org/2001/XMLSchema" xmlns:xs="http://www.w3.org/2001/XMLSchema" xmlns:p="http://schemas.microsoft.com/office/2006/metadata/properties" xmlns:ns3="17f2cbf0-12ce-4526-bdab-2fefa692ae50" targetNamespace="http://schemas.microsoft.com/office/2006/metadata/properties" ma:root="true" ma:fieldsID="9ba704fb50e8b11d939190ca67d17630" ns3:_="">
    <xsd:import namespace="17f2cbf0-12ce-4526-bdab-2fefa692ae5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f2cbf0-12ce-4526-bdab-2fefa692a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6F50D9-08B1-4124-8F33-4143CE05723C}"/>
</file>

<file path=customXml/itemProps2.xml><?xml version="1.0" encoding="utf-8"?>
<ds:datastoreItem xmlns:ds="http://schemas.openxmlformats.org/officeDocument/2006/customXml" ds:itemID="{0AAB5593-DAC1-441E-A2B8-3E2F77FA4608}"/>
</file>

<file path=customXml/itemProps3.xml><?xml version="1.0" encoding="utf-8"?>
<ds:datastoreItem xmlns:ds="http://schemas.openxmlformats.org/officeDocument/2006/customXml" ds:itemID="{A24CDD1A-34FC-442D-A763-19D76223BE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PGUSER329</dc:creator>
  <cp:keywords/>
  <dc:description/>
  <cp:lastModifiedBy>Jake Wells</cp:lastModifiedBy>
  <cp:revision/>
  <dcterms:created xsi:type="dcterms:W3CDTF">2023-02-22T09:19:24Z</dcterms:created>
  <dcterms:modified xsi:type="dcterms:W3CDTF">2026-03-16T10:38:35Z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0x01010032E8DFBC63CD91489FC37730822BB09B</vt:lpwstr>
  </property>
</Properties>
</file>